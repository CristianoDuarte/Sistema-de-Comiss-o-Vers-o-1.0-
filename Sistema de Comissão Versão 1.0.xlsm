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Users\Cristiano\Documents\Sistema de Comissão  Versão 1.0\"/>
    </mc:Choice>
  </mc:AlternateContent>
  <bookViews>
    <workbookView xWindow="0" yWindow="0" windowWidth="19440" windowHeight="10320" tabRatio="899" activeTab="2"/>
  </bookViews>
  <sheets>
    <sheet name="Inicio" sheetId="1" r:id="rId1"/>
    <sheet name="Usuarios" sheetId="7" r:id="rId2"/>
    <sheet name="UltimosAcessos" sheetId="17" r:id="rId3"/>
    <sheet name="Permissoes" sheetId="18" r:id="rId4"/>
    <sheet name="Parcelas" sheetId="21" r:id="rId5"/>
    <sheet name="Comissao" sheetId="22" r:id="rId6"/>
  </sheets>
  <functionGroups builtInGroupCount="18"/>
  <definedNames>
    <definedName name="F">#REF!</definedName>
    <definedName name="FORNECEDORES">#REF!</definedName>
    <definedName name="FornecedoresCodigo">#REF!</definedName>
    <definedName name="FornecedoresNomes">#REF!</definedName>
    <definedName name="ListaDeFornecedores">#REF!</definedName>
    <definedName name="parcelas">#REF!</definedName>
    <definedName name="parcelas2">#REF!</definedName>
    <definedName name="Produtos">#REF!</definedName>
    <definedName name="Recibo">#REF!</definedName>
    <definedName name="tbContasReceber">Parcelas!$A$1:$P$1</definedName>
  </definedNames>
  <calcPr calcId="152511"/>
</workbook>
</file>

<file path=xl/calcChain.xml><?xml version="1.0" encoding="utf-8"?>
<calcChain xmlns="http://schemas.openxmlformats.org/spreadsheetml/2006/main">
  <c r="A5" i="21" l="1"/>
  <c r="A4" i="21" l="1"/>
  <c r="A2" i="21"/>
  <c r="A3" i="21"/>
</calcChain>
</file>

<file path=xl/sharedStrings.xml><?xml version="1.0" encoding="utf-8"?>
<sst xmlns="http://schemas.openxmlformats.org/spreadsheetml/2006/main" count="153" uniqueCount="113">
  <si>
    <t>Cliente</t>
  </si>
  <si>
    <t>Endereço</t>
  </si>
  <si>
    <t>Telefone</t>
  </si>
  <si>
    <t>Cadastro de Usuários</t>
  </si>
  <si>
    <t>Login</t>
  </si>
  <si>
    <t>Senha</t>
  </si>
  <si>
    <t>Nome</t>
  </si>
  <si>
    <t>Perfil de Acesso</t>
  </si>
  <si>
    <t>Padrao</t>
  </si>
  <si>
    <t>Codigo</t>
  </si>
  <si>
    <t>(62) 965265899</t>
  </si>
  <si>
    <t>AVENIDA 15 DE VOVEMBRO Q16 L39 GR</t>
  </si>
  <si>
    <t>Arnaldo Cesar Coelho</t>
  </si>
  <si>
    <t>Administrador</t>
  </si>
  <si>
    <t>master</t>
  </si>
  <si>
    <t>(62)994090539</t>
  </si>
  <si>
    <t>Status</t>
  </si>
  <si>
    <t>Último Acesso</t>
  </si>
  <si>
    <t>Ativo</t>
  </si>
  <si>
    <t>Ultimo Acesso</t>
  </si>
  <si>
    <t>Master</t>
  </si>
  <si>
    <t>botafogo</t>
  </si>
  <si>
    <t>PADRÃO</t>
  </si>
  <si>
    <t>Alterar</t>
  </si>
  <si>
    <t>Cadastrar</t>
  </si>
  <si>
    <t>Excluir</t>
  </si>
  <si>
    <t>Usuarios</t>
  </si>
  <si>
    <t>ADMINISTRADOR</t>
  </si>
  <si>
    <t>Tiano Duarte</t>
  </si>
  <si>
    <t>Nome do Usuário</t>
  </si>
  <si>
    <t>Cartão de Débito</t>
  </si>
  <si>
    <t>Perfil</t>
  </si>
  <si>
    <t>(62)981627546</t>
  </si>
  <si>
    <t>Vendas</t>
  </si>
  <si>
    <t>Configurações</t>
  </si>
  <si>
    <t>Relatórios</t>
  </si>
  <si>
    <t>Forma Pagamento</t>
  </si>
  <si>
    <t>Dinheiro</t>
  </si>
  <si>
    <t>Produto</t>
  </si>
  <si>
    <t>Observações</t>
  </si>
  <si>
    <t>KAMILA AMANDA</t>
  </si>
  <si>
    <t>MASSA CORRIDA</t>
  </si>
  <si>
    <t>15 DE NOVEMBRO</t>
  </si>
  <si>
    <t>TESTE</t>
  </si>
  <si>
    <t>Comissão</t>
  </si>
  <si>
    <t>Data de Venda</t>
  </si>
  <si>
    <t>MARIA DO CARMO</t>
  </si>
  <si>
    <t>(62)32083169</t>
  </si>
  <si>
    <t>VILA PEDROSO</t>
  </si>
  <si>
    <t xml:space="preserve">LATA DE TINTA </t>
  </si>
  <si>
    <t>LATA DE TINTA AMARELA</t>
  </si>
  <si>
    <t>MAYCON NUNES</t>
  </si>
  <si>
    <t>(62) 32088008</t>
  </si>
  <si>
    <t>RUA 2 QD H LOTE 4 VILA PEDROSO</t>
  </si>
  <si>
    <t>LATA DE TINTA AZUL ROYAL</t>
  </si>
  <si>
    <t>âïôáæïçï</t>
  </si>
  <si>
    <t>±²³</t>
  </si>
  <si>
    <t>Valor Total</t>
  </si>
  <si>
    <t>Percentual %</t>
  </si>
  <si>
    <t>Data da Baixa</t>
  </si>
  <si>
    <t>Codigo Barra</t>
  </si>
  <si>
    <t>Quantidade</t>
  </si>
  <si>
    <t>Valor  Padrão da Comissão</t>
  </si>
  <si>
    <t>768865678899</t>
  </si>
  <si>
    <t>Massa corrida azul</t>
  </si>
  <si>
    <t>Fabio Neves</t>
  </si>
  <si>
    <t>(62) 989999000</t>
  </si>
  <si>
    <t>Rua 20 q2 l8</t>
  </si>
  <si>
    <t>776756566</t>
  </si>
  <si>
    <t>Latão de tinta vermelho</t>
  </si>
  <si>
    <t>300,00</t>
  </si>
  <si>
    <t>Rony Bobson</t>
  </si>
  <si>
    <t>(62) 900098999</t>
  </si>
  <si>
    <t>Rua 20 c2 Mardel Plata</t>
  </si>
  <si>
    <t>000000000011</t>
  </si>
  <si>
    <t>pinsel e Rolo</t>
  </si>
  <si>
    <t>5.500,00</t>
  </si>
  <si>
    <t>550,00</t>
  </si>
  <si>
    <t>Cartão de Crédito Parcelado</t>
  </si>
  <si>
    <t>Yasmin Kárita</t>
  </si>
  <si>
    <t>(62) 30951994</t>
  </si>
  <si>
    <t>Avenida Cristiano Machado</t>
  </si>
  <si>
    <t>00000000033</t>
  </si>
  <si>
    <t>Esmalte</t>
  </si>
  <si>
    <t>530,00</t>
  </si>
  <si>
    <t>26,50</t>
  </si>
  <si>
    <t>Izaíra Lima Xavier</t>
  </si>
  <si>
    <t>(62) 32088007</t>
  </si>
  <si>
    <t>Rua 2 qh l23 Vila Pedroso</t>
  </si>
  <si>
    <t>admin</t>
  </si>
  <si>
    <t>padrao</t>
  </si>
  <si>
    <t>Administrador do Sistema</t>
  </si>
  <si>
    <t>Usuário Padrão do Sistema</t>
  </si>
  <si>
    <t>00000333</t>
  </si>
  <si>
    <t xml:space="preserve">Tinta </t>
  </si>
  <si>
    <t>500,00</t>
  </si>
  <si>
    <t>50,00</t>
  </si>
  <si>
    <t>Joao</t>
  </si>
  <si>
    <t>(62) 305588686</t>
  </si>
  <si>
    <t>Rua 2</t>
  </si>
  <si>
    <t>695659659656</t>
  </si>
  <si>
    <t>Massa corrida</t>
  </si>
  <si>
    <t>1.500,00</t>
  </si>
  <si>
    <t>150,00</t>
  </si>
  <si>
    <t>Marcos junior</t>
  </si>
  <si>
    <t>(62) 888888888</t>
  </si>
  <si>
    <t>Rua 20 Centro</t>
  </si>
  <si>
    <t>123</t>
  </si>
  <si>
    <t>5</t>
  </si>
  <si>
    <t>999889977979797</t>
  </si>
  <si>
    <t>Massa Corrida</t>
  </si>
  <si>
    <t>810,00</t>
  </si>
  <si>
    <t>81,00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</si>
</sst>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$&quot;#,##0.00_);\(&quot;R$&quot;#,##0.00\)"/>
    <numFmt numFmtId="165" formatCode="&quot;R$&quot;\ #,##0.00"/>
    <numFmt numFmtId="166" formatCode="m/d/yyyy"/>
  </numFmts>
  <fonts count="8" x14ac:knownFonts="1">
    <font>
      <sz val="11"/>
      <color theme="1"/>
      <name val="Calibri"/>
      <family val="2"/>
      <scheme val="minor"/>
    </font>
    <font>
      <i/>
      <u val="double"/>
      <sz val="48"/>
      <color theme="1"/>
      <name val="Algerian"/>
      <family val="5"/>
    </font>
    <font>
      <b/>
      <sz val="11"/>
      <color theme="0"/>
      <name val="Calibri"/>
      <family val="2"/>
      <scheme val="minor"/>
    </font>
    <font>
      <sz val="14"/>
      <color theme="0"/>
      <name val="Algerian"/>
      <family val="5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scheme val="minor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3" borderId="0" xfId="0" applyFill="1"/>
    <xf numFmtId="49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1" xfId="0" applyFill="1" applyBorder="1"/>
    <xf numFmtId="0" fontId="4" fillId="6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0" fontId="0" fillId="7" borderId="0" xfId="0" applyFill="1" applyBorder="1"/>
    <xf numFmtId="0" fontId="0" fillId="7" borderId="0" xfId="0" applyFill="1"/>
    <xf numFmtId="0" fontId="0" fillId="8" borderId="0" xfId="0" applyFill="1"/>
    <xf numFmtId="0" fontId="0" fillId="3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0" fontId="5" fillId="0" borderId="1" xfId="0" applyNumberFormat="1" applyFon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5" fillId="0" borderId="0" xfId="0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2" borderId="0" xfId="0" applyFont="1" applyFill="1"/>
    <xf numFmtId="14" fontId="5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6" fillId="0" borderId="9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6" fillId="0" borderId="9" xfId="0" applyNumberFormat="1" applyFont="1" applyBorder="1" applyAlignment="1">
      <alignment horizontal="center"/>
    </xf>
    <xf numFmtId="14" fontId="5" fillId="0" borderId="10" xfId="0" applyNumberFormat="1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0" xfId="0" applyBorder="1" applyAlignment="1">
      <alignment horizontal="center"/>
    </xf>
    <xf numFmtId="0" fontId="6" fillId="0" borderId="0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66" fontId="5" fillId="0" borderId="10" xfId="0" applyNumberFormat="1" applyFont="1" applyBorder="1" applyAlignment="1">
      <alignment horizontal="center"/>
    </xf>
    <xf numFmtId="166" fontId="6" fillId="0" borderId="0" xfId="0" applyNumberFormat="1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m/d/yyyy"/>
      <alignment horizontal="center" vertical="bottom" textRotation="0" wrapText="0" indent="0" justifyLastLine="0" shrinkToFit="0" readingOrder="0"/>
    </dxf>
    <dxf>
      <font>
        <sz val="12"/>
      </font>
      <numFmt numFmtId="166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251914</xdr:colOff>
      <xdr:row>0</xdr:row>
      <xdr:rowOff>0</xdr:rowOff>
    </xdr:from>
    <xdr:to>
      <xdr:col>21</xdr:col>
      <xdr:colOff>471985</xdr:colOff>
      <xdr:row>32</xdr:row>
      <xdr:rowOff>88900</xdr:rowOff>
    </xdr:to>
    <xdr:pic>
      <xdr:nvPicPr>
        <xdr:cNvPr id="6" name="Imagem 5" descr="phot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19114" y="0"/>
          <a:ext cx="8754471" cy="6184900"/>
        </a:xfrm>
        <a:prstGeom prst="rect">
          <a:avLst/>
        </a:prstGeom>
      </xdr:spPr>
    </xdr:pic>
    <xdr:clientData/>
  </xdr:twoCellAnchor>
  <xdr:twoCellAnchor>
    <xdr:from>
      <xdr:col>4</xdr:col>
      <xdr:colOff>381000</xdr:colOff>
      <xdr:row>32</xdr:row>
      <xdr:rowOff>165100</xdr:rowOff>
    </xdr:from>
    <xdr:to>
      <xdr:col>24</xdr:col>
      <xdr:colOff>368300</xdr:colOff>
      <xdr:row>40</xdr:row>
      <xdr:rowOff>38100</xdr:rowOff>
    </xdr:to>
    <xdr:sp macro="[0]!ChamarMenu_Clique" textlink="">
      <xdr:nvSpPr>
        <xdr:cNvPr id="8" name="Bisel 7"/>
        <xdr:cNvSpPr/>
      </xdr:nvSpPr>
      <xdr:spPr>
        <a:xfrm>
          <a:off x="2819400" y="6261100"/>
          <a:ext cx="12179300" cy="139700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28575</xdr:rowOff>
    </xdr:from>
    <xdr:to>
      <xdr:col>9</xdr:col>
      <xdr:colOff>609599</xdr:colOff>
      <xdr:row>1</xdr:row>
      <xdr:rowOff>171450</xdr:rowOff>
    </xdr:to>
    <xdr:sp macro="[0]!ChamarMenu_Clique" textlink="">
      <xdr:nvSpPr>
        <xdr:cNvPr id="2" name="Bisel 1"/>
        <xdr:cNvSpPr/>
      </xdr:nvSpPr>
      <xdr:spPr>
        <a:xfrm>
          <a:off x="9696450" y="28575"/>
          <a:ext cx="1162049" cy="3333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57150</xdr:rowOff>
    </xdr:from>
    <xdr:to>
      <xdr:col>7</xdr:col>
      <xdr:colOff>1343025</xdr:colOff>
      <xdr:row>0</xdr:row>
      <xdr:rowOff>314325</xdr:rowOff>
    </xdr:to>
    <xdr:sp macro="[0]!ChamarMenu_Clique" textlink="">
      <xdr:nvSpPr>
        <xdr:cNvPr id="2" name="Bisel 1"/>
        <xdr:cNvSpPr/>
      </xdr:nvSpPr>
      <xdr:spPr>
        <a:xfrm>
          <a:off x="7905750" y="57150"/>
          <a:ext cx="1171575" cy="2571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0</xdr:row>
      <xdr:rowOff>28575</xdr:rowOff>
    </xdr:from>
    <xdr:to>
      <xdr:col>9</xdr:col>
      <xdr:colOff>1257300</xdr:colOff>
      <xdr:row>2</xdr:row>
      <xdr:rowOff>47625</xdr:rowOff>
    </xdr:to>
    <xdr:sp macro="[0]!ChamarMenu_Clique" textlink="">
      <xdr:nvSpPr>
        <xdr:cNvPr id="2" name="Bisel 1"/>
        <xdr:cNvSpPr/>
      </xdr:nvSpPr>
      <xdr:spPr>
        <a:xfrm>
          <a:off x="9248775" y="28575"/>
          <a:ext cx="1209675" cy="4000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31751</xdr:colOff>
      <xdr:row>0</xdr:row>
      <xdr:rowOff>19050</xdr:rowOff>
    </xdr:from>
    <xdr:to>
      <xdr:col>13</xdr:col>
      <xdr:colOff>1209676</xdr:colOff>
      <xdr:row>1</xdr:row>
      <xdr:rowOff>0</xdr:rowOff>
    </xdr:to>
    <xdr:sp macro="[0]!ChamarMenu_Clique" textlink="">
      <xdr:nvSpPr>
        <xdr:cNvPr id="2" name="Bisel 1"/>
        <xdr:cNvSpPr/>
      </xdr:nvSpPr>
      <xdr:spPr>
        <a:xfrm>
          <a:off x="17843501" y="19050"/>
          <a:ext cx="1177925" cy="3619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Parcelas" displayName="tbParcelas" ref="A1:M12" totalsRowShown="0" headerRowDxfId="11">
  <autoFilter ref="A1:M12"/>
  <tableColumns count="13">
    <tableColumn id="1" name="Codigo Barra" dataDxfId="10">
      <calculatedColumnFormula>ROW(A2:A10002)</calculatedColumnFormula>
    </tableColumn>
    <tableColumn id="18" name="Produto" dataDxfId="9"/>
    <tableColumn id="2" name="Valor Total" dataDxfId="8"/>
    <tableColumn id="9" name="Quantidade" dataDxfId="7"/>
    <tableColumn id="3" name="Percentual %" dataDxfId="6"/>
    <tableColumn id="20" name="Comissão" dataDxfId="5"/>
    <tableColumn id="12" name="Data de Venda" dataDxfId="4"/>
    <tableColumn id="8" name="Data da Baixa" dataDxfId="3"/>
    <tableColumn id="4" name="Forma Pagamento" dataDxfId="2"/>
    <tableColumn id="5" name="Cliente"/>
    <tableColumn id="6" name="Telefone" dataDxfId="1"/>
    <tableColumn id="7" name="Endereço" dataDxfId="0"/>
    <tableColumn id="19" name="Observaçõ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K41"/>
  <sheetViews>
    <sheetView showGridLines="0" showRowColHeaders="0" topLeftCell="A12" zoomScale="75" zoomScaleNormal="75" workbookViewId="0">
      <selection activeCell="X21" sqref="X21"/>
    </sheetView>
  </sheetViews>
  <sheetFormatPr defaultRowHeight="15" x14ac:dyDescent="0.25"/>
  <sheetData>
    <row r="1" spans="1:37" ht="15" customHeight="1" x14ac:dyDescent="0.25">
      <c r="A1" s="33"/>
      <c r="B1" s="33"/>
      <c r="C1" s="33"/>
      <c r="D1" s="33"/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8"/>
      <c r="U1" s="28"/>
      <c r="V1" s="28"/>
      <c r="W1" s="28"/>
      <c r="X1" s="28"/>
      <c r="Y1" s="29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</row>
    <row r="2" spans="1:37" ht="15" customHeight="1" x14ac:dyDescent="0.25">
      <c r="A2" s="33"/>
      <c r="B2" s="33"/>
      <c r="C2" s="33"/>
      <c r="D2" s="33"/>
      <c r="E2" s="30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9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</row>
    <row r="3" spans="1:37" ht="15" customHeight="1" x14ac:dyDescent="0.25">
      <c r="A3" s="33"/>
      <c r="B3" s="33"/>
      <c r="C3" s="33"/>
      <c r="D3" s="33"/>
      <c r="E3" s="30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9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</row>
    <row r="4" spans="1:37" ht="15" customHeight="1" x14ac:dyDescent="0.25">
      <c r="A4" s="33"/>
      <c r="B4" s="33"/>
      <c r="C4" s="33"/>
      <c r="D4" s="33"/>
      <c r="E4" s="30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9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</row>
    <row r="5" spans="1:37" ht="15" customHeight="1" x14ac:dyDescent="0.25">
      <c r="A5" s="33"/>
      <c r="B5" s="33"/>
      <c r="C5" s="33"/>
      <c r="D5" s="33"/>
      <c r="E5" s="30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9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</row>
    <row r="6" spans="1:37" ht="15" customHeight="1" x14ac:dyDescent="0.25">
      <c r="A6" s="33"/>
      <c r="B6" s="33"/>
      <c r="C6" s="33"/>
      <c r="D6" s="33"/>
      <c r="E6" s="30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9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</row>
    <row r="7" spans="1:37" ht="15" customHeight="1" x14ac:dyDescent="0.25">
      <c r="A7" s="33"/>
      <c r="B7" s="33"/>
      <c r="C7" s="33"/>
      <c r="D7" s="33"/>
      <c r="E7" s="30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9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</row>
    <row r="8" spans="1:37" ht="15" customHeight="1" x14ac:dyDescent="0.25">
      <c r="A8" s="33"/>
      <c r="B8" s="33"/>
      <c r="C8" s="33"/>
      <c r="D8" s="33"/>
      <c r="E8" s="30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9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</row>
    <row r="9" spans="1:37" ht="15" customHeight="1" x14ac:dyDescent="0.25">
      <c r="A9" s="33"/>
      <c r="B9" s="33"/>
      <c r="C9" s="33"/>
      <c r="D9" s="33"/>
      <c r="E9" s="30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9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</row>
    <row r="10" spans="1:37" ht="15" customHeight="1" x14ac:dyDescent="0.25">
      <c r="A10" s="33"/>
      <c r="B10" s="33"/>
      <c r="C10" s="33"/>
      <c r="D10" s="33"/>
      <c r="E10" s="30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9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</row>
    <row r="11" spans="1:37" ht="15" customHeight="1" x14ac:dyDescent="0.25">
      <c r="A11" s="33"/>
      <c r="B11" s="33"/>
      <c r="C11" s="33"/>
      <c r="D11" s="33"/>
      <c r="E11" s="30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9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</row>
    <row r="12" spans="1:37" ht="15" customHeight="1" x14ac:dyDescent="0.25">
      <c r="A12" s="33"/>
      <c r="B12" s="33"/>
      <c r="C12" s="33"/>
      <c r="D12" s="33"/>
      <c r="E12" s="30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9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</row>
    <row r="13" spans="1:37" ht="15" customHeight="1" x14ac:dyDescent="0.25">
      <c r="A13" s="33"/>
      <c r="B13" s="33"/>
      <c r="C13" s="33"/>
      <c r="D13" s="33"/>
      <c r="E13" s="30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9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</row>
    <row r="14" spans="1:37" ht="15" customHeight="1" x14ac:dyDescent="0.25">
      <c r="A14" s="33"/>
      <c r="B14" s="33"/>
      <c r="C14" s="33"/>
      <c r="D14" s="33"/>
      <c r="E14" s="30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9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</row>
    <row r="15" spans="1:37" ht="15" customHeight="1" x14ac:dyDescent="0.25">
      <c r="A15" s="33"/>
      <c r="B15" s="33"/>
      <c r="C15" s="33"/>
      <c r="D15" s="33"/>
      <c r="E15" s="30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9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</row>
    <row r="16" spans="1:37" ht="15" customHeight="1" x14ac:dyDescent="0.25">
      <c r="A16" s="33"/>
      <c r="B16" s="33"/>
      <c r="C16" s="33"/>
      <c r="D16" s="33"/>
      <c r="E16" s="30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9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</row>
    <row r="17" spans="1:37" ht="15" customHeight="1" x14ac:dyDescent="0.25">
      <c r="A17" s="33"/>
      <c r="B17" s="33"/>
      <c r="C17" s="33"/>
      <c r="D17" s="33"/>
      <c r="E17" s="30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9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</row>
    <row r="18" spans="1:37" ht="15" customHeight="1" x14ac:dyDescent="0.25">
      <c r="A18" s="33"/>
      <c r="B18" s="33"/>
      <c r="C18" s="33"/>
      <c r="D18" s="33"/>
      <c r="E18" s="30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9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</row>
    <row r="19" spans="1:37" ht="15" customHeight="1" x14ac:dyDescent="0.25">
      <c r="A19" s="33"/>
      <c r="B19" s="33"/>
      <c r="C19" s="33"/>
      <c r="D19" s="33"/>
      <c r="E19" s="30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9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</row>
    <row r="20" spans="1:37" ht="15" customHeight="1" x14ac:dyDescent="0.25">
      <c r="A20" s="33"/>
      <c r="B20" s="33"/>
      <c r="C20" s="33"/>
      <c r="D20" s="33"/>
      <c r="E20" s="30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9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</row>
    <row r="21" spans="1:37" ht="15" customHeight="1" x14ac:dyDescent="0.25">
      <c r="A21" s="33"/>
      <c r="B21" s="33"/>
      <c r="C21" s="33"/>
      <c r="D21" s="33"/>
      <c r="E21" s="30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9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</row>
    <row r="22" spans="1:37" ht="15" customHeight="1" x14ac:dyDescent="0.25">
      <c r="A22" s="33"/>
      <c r="B22" s="33"/>
      <c r="C22" s="33"/>
      <c r="D22" s="33"/>
      <c r="E22" s="30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9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</row>
    <row r="23" spans="1:37" ht="15" customHeight="1" x14ac:dyDescent="0.25">
      <c r="A23" s="33"/>
      <c r="B23" s="33"/>
      <c r="C23" s="33"/>
      <c r="D23" s="33"/>
      <c r="E23" s="30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9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</row>
    <row r="24" spans="1:37" ht="15" customHeight="1" x14ac:dyDescent="0.25">
      <c r="A24" s="33"/>
      <c r="B24" s="33"/>
      <c r="C24" s="33"/>
      <c r="D24" s="33"/>
      <c r="E24" s="30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9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</row>
    <row r="25" spans="1:37" ht="15" customHeight="1" x14ac:dyDescent="0.25">
      <c r="A25" s="33"/>
      <c r="B25" s="33"/>
      <c r="C25" s="33"/>
      <c r="D25" s="33"/>
      <c r="E25" s="30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9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</row>
    <row r="26" spans="1:37" ht="15" customHeight="1" x14ac:dyDescent="0.25">
      <c r="A26" s="34"/>
      <c r="B26" s="34"/>
      <c r="C26" s="34"/>
      <c r="D26" s="34"/>
      <c r="E26" s="30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9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</row>
    <row r="27" spans="1:37" ht="15" customHeight="1" x14ac:dyDescent="0.25">
      <c r="A27" s="34"/>
      <c r="B27" s="34"/>
      <c r="C27" s="34"/>
      <c r="D27" s="34"/>
      <c r="E27" s="30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9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</row>
    <row r="28" spans="1:37" ht="15" customHeight="1" x14ac:dyDescent="0.25">
      <c r="A28" s="34"/>
      <c r="B28" s="34"/>
      <c r="C28" s="34"/>
      <c r="D28" s="34"/>
      <c r="E28" s="30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9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</row>
    <row r="29" spans="1:37" ht="15" customHeight="1" x14ac:dyDescent="0.25">
      <c r="A29" s="34"/>
      <c r="B29" s="34"/>
      <c r="C29" s="34"/>
      <c r="D29" s="34"/>
      <c r="E29" s="30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9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</row>
    <row r="30" spans="1:37" ht="15" customHeight="1" x14ac:dyDescent="0.25">
      <c r="A30" s="34"/>
      <c r="B30" s="34"/>
      <c r="C30" s="34"/>
      <c r="D30" s="34"/>
      <c r="E30" s="30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9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</row>
    <row r="31" spans="1:37" ht="15" customHeight="1" x14ac:dyDescent="0.25">
      <c r="A31" s="34"/>
      <c r="B31" s="34"/>
      <c r="C31" s="34"/>
      <c r="D31" s="34"/>
      <c r="E31" s="30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9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</row>
    <row r="32" spans="1:37" ht="15" customHeight="1" x14ac:dyDescent="0.25">
      <c r="A32" s="34"/>
      <c r="B32" s="34"/>
      <c r="C32" s="34"/>
      <c r="D32" s="34"/>
      <c r="E32" s="30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9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</row>
    <row r="33" spans="1:37" ht="15" customHeight="1" x14ac:dyDescent="0.25">
      <c r="A33" s="34"/>
      <c r="B33" s="34"/>
      <c r="C33" s="34"/>
      <c r="D33" s="34"/>
      <c r="E33" s="30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9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</row>
    <row r="34" spans="1:37" ht="15" customHeight="1" x14ac:dyDescent="0.25">
      <c r="A34" s="34"/>
      <c r="B34" s="34"/>
      <c r="C34" s="34"/>
      <c r="D34" s="34"/>
      <c r="E34" s="30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9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</row>
    <row r="35" spans="1:37" ht="15" customHeight="1" x14ac:dyDescent="0.25">
      <c r="A35" s="34"/>
      <c r="B35" s="34"/>
      <c r="C35" s="34"/>
      <c r="D35" s="34"/>
      <c r="E35" s="30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9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</row>
    <row r="36" spans="1:37" ht="15" customHeight="1" x14ac:dyDescent="0.25">
      <c r="A36" s="34"/>
      <c r="B36" s="34"/>
      <c r="C36" s="34"/>
      <c r="D36" s="34"/>
      <c r="E36" s="30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9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</row>
    <row r="37" spans="1:37" ht="15" customHeight="1" thickBot="1" x14ac:dyDescent="0.3">
      <c r="A37" s="34"/>
      <c r="B37" s="34"/>
      <c r="C37" s="34"/>
      <c r="D37" s="34"/>
      <c r="E37" s="31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28"/>
      <c r="U37" s="28"/>
      <c r="V37" s="28"/>
      <c r="W37" s="28"/>
      <c r="X37" s="28"/>
      <c r="Y37" s="29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</row>
    <row r="38" spans="1:37" x14ac:dyDescent="0.25">
      <c r="A38" s="34"/>
      <c r="B38" s="34"/>
      <c r="C38" s="34"/>
      <c r="D38" s="34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</row>
    <row r="39" spans="1:37" x14ac:dyDescent="0.25">
      <c r="A39" s="34"/>
      <c r="B39" s="34"/>
      <c r="C39" s="34"/>
      <c r="D39" s="34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</row>
    <row r="40" spans="1:37" x14ac:dyDescent="0.25">
      <c r="A40" s="34"/>
      <c r="B40" s="34"/>
      <c r="C40" s="34"/>
      <c r="D40" s="34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</row>
    <row r="41" spans="1:37" x14ac:dyDescent="0.25">
      <c r="A41" s="34"/>
      <c r="B41" s="34"/>
      <c r="C41" s="34"/>
      <c r="D41" s="34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29"/>
  <sheetViews>
    <sheetView workbookViewId="0">
      <selection activeCell="A7" sqref="A7"/>
    </sheetView>
  </sheetViews>
  <sheetFormatPr defaultColWidth="0" defaultRowHeight="15" x14ac:dyDescent="0.25"/>
  <cols>
    <col min="1" max="1" width="9.140625" style="9" customWidth="1"/>
    <col min="2" max="2" width="15" style="9" customWidth="1"/>
    <col min="3" max="3" width="13.42578125" style="9" customWidth="1"/>
    <col min="4" max="4" width="33.140625" style="1" customWidth="1"/>
    <col min="5" max="5" width="14.5703125" style="9" customWidth="1"/>
    <col min="6" max="6" width="29" style="9" customWidth="1"/>
    <col min="7" max="7" width="16.28515625" style="9" customWidth="1"/>
    <col min="8" max="8" width="14" style="9" customWidth="1"/>
    <col min="9" max="9" width="9.140625" style="35" customWidth="1"/>
    <col min="10" max="10" width="10" style="35" customWidth="1"/>
    <col min="11" max="16384" width="9.140625" hidden="1"/>
  </cols>
  <sheetData>
    <row r="1" spans="1:8" ht="15" customHeight="1" x14ac:dyDescent="0.25">
      <c r="A1" s="74" t="s">
        <v>3</v>
      </c>
      <c r="B1" s="74"/>
      <c r="C1" s="74"/>
      <c r="D1" s="74"/>
      <c r="E1" s="74"/>
      <c r="F1" s="74"/>
      <c r="G1" s="74"/>
      <c r="H1" s="74"/>
    </row>
    <row r="2" spans="1:8" ht="15.75" customHeight="1" x14ac:dyDescent="0.25">
      <c r="A2" s="74"/>
      <c r="B2" s="74"/>
      <c r="C2" s="74"/>
      <c r="D2" s="74"/>
      <c r="E2" s="74"/>
      <c r="F2" s="74"/>
      <c r="G2" s="74"/>
      <c r="H2" s="74"/>
    </row>
    <row r="3" spans="1:8" x14ac:dyDescent="0.25">
      <c r="A3" s="5" t="s">
        <v>9</v>
      </c>
      <c r="B3" s="4" t="s">
        <v>4</v>
      </c>
      <c r="C3" s="5" t="s">
        <v>5</v>
      </c>
      <c r="D3" s="6" t="s">
        <v>6</v>
      </c>
      <c r="E3" s="6" t="s">
        <v>2</v>
      </c>
      <c r="F3" s="6" t="s">
        <v>7</v>
      </c>
      <c r="G3" s="6" t="s">
        <v>17</v>
      </c>
      <c r="H3" s="6" t="s">
        <v>16</v>
      </c>
    </row>
    <row r="4" spans="1:8" x14ac:dyDescent="0.25">
      <c r="A4" s="9">
        <v>1</v>
      </c>
      <c r="B4" s="7" t="s">
        <v>89</v>
      </c>
      <c r="C4" s="7" t="s">
        <v>107</v>
      </c>
      <c r="D4" s="1" t="s">
        <v>91</v>
      </c>
      <c r="E4" s="22" t="s">
        <v>15</v>
      </c>
      <c r="F4" s="54" t="s">
        <v>13</v>
      </c>
      <c r="G4" s="8">
        <v>43280</v>
      </c>
      <c r="H4" s="9" t="s">
        <v>18</v>
      </c>
    </row>
    <row r="5" spans="1:8" x14ac:dyDescent="0.25">
      <c r="A5" s="9">
        <v>2</v>
      </c>
      <c r="B5" s="7" t="s">
        <v>90</v>
      </c>
      <c r="C5" s="7" t="s">
        <v>56</v>
      </c>
      <c r="D5" s="1" t="s">
        <v>92</v>
      </c>
      <c r="E5" s="54" t="s">
        <v>32</v>
      </c>
      <c r="F5" s="54" t="s">
        <v>8</v>
      </c>
      <c r="G5" s="8">
        <v>43222</v>
      </c>
      <c r="H5" s="54" t="s">
        <v>18</v>
      </c>
    </row>
    <row r="6" spans="1:8" x14ac:dyDescent="0.25">
      <c r="A6" s="9">
        <v>3</v>
      </c>
      <c r="B6" s="7" t="s">
        <v>14</v>
      </c>
      <c r="C6" s="59" t="s">
        <v>55</v>
      </c>
      <c r="D6" s="7" t="s">
        <v>28</v>
      </c>
      <c r="E6" s="9" t="s">
        <v>15</v>
      </c>
      <c r="F6" s="54" t="s">
        <v>20</v>
      </c>
      <c r="G6" s="8">
        <v>43280</v>
      </c>
      <c r="H6" s="9" t="s">
        <v>18</v>
      </c>
    </row>
    <row r="7" spans="1:8" x14ac:dyDescent="0.25">
      <c r="G7" s="8"/>
    </row>
    <row r="8" spans="1:8" x14ac:dyDescent="0.25">
      <c r="G8" s="8"/>
    </row>
    <row r="29" spans="2:2" x14ac:dyDescent="0.25">
      <c r="B29" s="14"/>
    </row>
  </sheetData>
  <mergeCells count="1">
    <mergeCell ref="A1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ltimosAcessos"/>
  <dimension ref="A1:XEU4"/>
  <sheetViews>
    <sheetView tabSelected="1" workbookViewId="0">
      <selection activeCell="G11" sqref="G11"/>
    </sheetView>
  </sheetViews>
  <sheetFormatPr defaultColWidth="0" defaultRowHeight="15" outlineLevelCol="1" x14ac:dyDescent="0.25"/>
  <cols>
    <col min="1" max="1" width="9.140625" style="1" customWidth="1"/>
    <col min="2" max="2" width="9.140625" style="15" customWidth="1"/>
    <col min="3" max="3" width="20.85546875" style="8" customWidth="1"/>
    <col min="4" max="4" width="29.140625" style="15" customWidth="1"/>
    <col min="5" max="5" width="15.28515625" style="15" customWidth="1"/>
    <col min="6" max="6" width="9.140625" style="15" customWidth="1"/>
    <col min="7" max="7" width="23.28515625" style="21" customWidth="1"/>
    <col min="8" max="8" width="23.28515625" style="35" customWidth="1"/>
    <col min="9" max="9" width="0" hidden="1" outlineLevel="1"/>
    <col min="13" max="16375" width="23.28515625" hidden="1"/>
  </cols>
  <sheetData>
    <row r="1" spans="1:7" ht="25.5" customHeight="1" x14ac:dyDescent="0.25">
      <c r="A1" s="16" t="s">
        <v>4</v>
      </c>
      <c r="B1" s="17" t="s">
        <v>5</v>
      </c>
      <c r="C1" s="18" t="s">
        <v>19</v>
      </c>
      <c r="D1" s="19" t="s">
        <v>29</v>
      </c>
      <c r="E1" s="19" t="s">
        <v>2</v>
      </c>
      <c r="F1" s="19" t="s">
        <v>9</v>
      </c>
      <c r="G1" s="19" t="s">
        <v>31</v>
      </c>
    </row>
    <row r="2" spans="1:7" x14ac:dyDescent="0.25">
      <c r="A2" s="1" t="s">
        <v>14</v>
      </c>
      <c r="B2" s="15" t="s">
        <v>21</v>
      </c>
      <c r="C2" s="8">
        <v>43280</v>
      </c>
      <c r="D2" s="15" t="s">
        <v>28</v>
      </c>
      <c r="E2" s="15" t="s">
        <v>15</v>
      </c>
      <c r="F2" s="15">
        <v>3</v>
      </c>
      <c r="G2" s="21" t="s">
        <v>8</v>
      </c>
    </row>
    <row r="3" spans="1:7" x14ac:dyDescent="0.25">
      <c r="A3" s="1" t="s">
        <v>89</v>
      </c>
      <c r="B3" s="15">
        <v>123</v>
      </c>
      <c r="C3" s="8">
        <v>43280</v>
      </c>
      <c r="D3" s="15" t="s">
        <v>91</v>
      </c>
      <c r="E3" s="15" t="s">
        <v>15</v>
      </c>
      <c r="F3" s="15">
        <v>1</v>
      </c>
      <c r="G3" s="21" t="s">
        <v>13</v>
      </c>
    </row>
    <row r="4" spans="1:7" x14ac:dyDescent="0.25">
      <c r="A4" s="1" t="s">
        <v>89</v>
      </c>
      <c r="B4" s="15">
        <v>123</v>
      </c>
      <c r="C4" s="8">
        <v>43280</v>
      </c>
      <c r="D4" s="15" t="s">
        <v>91</v>
      </c>
      <c r="E4" s="15" t="s">
        <v>15</v>
      </c>
      <c r="F4" s="15">
        <v>1</v>
      </c>
      <c r="G4" s="21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XFC16"/>
  <sheetViews>
    <sheetView workbookViewId="0">
      <selection activeCell="E9" sqref="E9"/>
    </sheetView>
  </sheetViews>
  <sheetFormatPr defaultColWidth="0" defaultRowHeight="15" zeroHeight="1" outlineLevelCol="1" x14ac:dyDescent="0.25"/>
  <cols>
    <col min="1" max="1" width="22.7109375" style="3" customWidth="1"/>
    <col min="2" max="2" width="16.7109375" style="36" customWidth="1"/>
    <col min="3" max="3" width="14" style="36" customWidth="1"/>
    <col min="4" max="4" width="13.7109375" style="36" customWidth="1"/>
    <col min="5" max="5" width="9.140625" style="3" customWidth="1"/>
    <col min="6" max="6" width="17.28515625" style="3" customWidth="1"/>
    <col min="7" max="7" width="16.7109375" style="36" customWidth="1"/>
    <col min="8" max="8" width="14" style="36" customWidth="1"/>
    <col min="9" max="9" width="13.7109375" style="36" customWidth="1"/>
    <col min="10" max="10" width="20" style="35" customWidth="1"/>
    <col min="11" max="11" width="0" hidden="1" outlineLevel="1"/>
    <col min="20" max="16360" width="9.140625" hidden="1"/>
    <col min="16384" max="16384" width="5.140625" hidden="1" customWidth="1"/>
  </cols>
  <sheetData>
    <row r="1" spans="1:10" x14ac:dyDescent="0.25">
      <c r="A1" s="12" t="s">
        <v>22</v>
      </c>
      <c r="B1" s="25" t="s">
        <v>24</v>
      </c>
      <c r="C1" s="25" t="s">
        <v>23</v>
      </c>
      <c r="D1" s="25" t="s">
        <v>25</v>
      </c>
      <c r="E1" s="35"/>
      <c r="F1" s="13" t="s">
        <v>27</v>
      </c>
      <c r="G1" s="25" t="s">
        <v>24</v>
      </c>
      <c r="H1" s="25" t="s">
        <v>23</v>
      </c>
      <c r="I1" s="25" t="s">
        <v>25</v>
      </c>
    </row>
    <row r="2" spans="1:10" x14ac:dyDescent="0.25">
      <c r="A2" s="24" t="s">
        <v>26</v>
      </c>
      <c r="B2" s="20" t="b">
        <v>0</v>
      </c>
      <c r="C2" s="11" t="b">
        <v>0</v>
      </c>
      <c r="D2" s="20" t="b">
        <v>0</v>
      </c>
      <c r="E2" s="35"/>
      <c r="F2" s="24" t="s">
        <v>26</v>
      </c>
      <c r="G2" s="54" t="b">
        <v>1</v>
      </c>
      <c r="H2" s="54" t="b">
        <v>1</v>
      </c>
      <c r="I2" s="54" t="b">
        <v>1</v>
      </c>
    </row>
    <row r="3" spans="1:10" x14ac:dyDescent="0.25">
      <c r="A3" s="24" t="s">
        <v>33</v>
      </c>
      <c r="B3" s="54" t="b">
        <v>1</v>
      </c>
      <c r="C3" s="58"/>
      <c r="D3" s="58"/>
      <c r="E3" s="35"/>
      <c r="F3" s="24" t="s">
        <v>33</v>
      </c>
      <c r="G3" s="54" t="b">
        <v>1</v>
      </c>
      <c r="H3" s="58"/>
      <c r="I3" s="58"/>
    </row>
    <row r="4" spans="1:10" x14ac:dyDescent="0.25">
      <c r="A4" s="24" t="s">
        <v>34</v>
      </c>
      <c r="B4" s="23" t="b">
        <v>0</v>
      </c>
      <c r="C4" s="40"/>
      <c r="D4" s="40"/>
      <c r="E4" s="35"/>
      <c r="F4" s="24" t="s">
        <v>34</v>
      </c>
      <c r="G4" s="54" t="b">
        <v>1</v>
      </c>
      <c r="H4" s="40"/>
      <c r="I4" s="40"/>
    </row>
    <row r="5" spans="1:10" x14ac:dyDescent="0.25">
      <c r="A5" s="24" t="s">
        <v>35</v>
      </c>
      <c r="B5" s="10" t="b">
        <v>0</v>
      </c>
      <c r="C5" s="40"/>
      <c r="D5" s="40"/>
      <c r="E5" s="35"/>
      <c r="F5" s="24" t="s">
        <v>35</v>
      </c>
      <c r="G5" s="23" t="b">
        <v>1</v>
      </c>
      <c r="H5" s="40"/>
      <c r="I5" s="40"/>
    </row>
    <row r="6" spans="1:10" x14ac:dyDescent="0.25">
      <c r="J6" s="3"/>
    </row>
    <row r="7" spans="1:10" x14ac:dyDescent="0.25">
      <c r="J7" s="3"/>
    </row>
    <row r="8" spans="1:10" x14ac:dyDescent="0.25">
      <c r="J8" s="3"/>
    </row>
    <row r="9" spans="1:10" x14ac:dyDescent="0.25">
      <c r="J9" s="3"/>
    </row>
    <row r="10" spans="1:10" x14ac:dyDescent="0.25">
      <c r="J10" s="3"/>
    </row>
    <row r="11" spans="1:10" x14ac:dyDescent="0.25">
      <c r="J11" s="3"/>
    </row>
    <row r="12" spans="1:10" x14ac:dyDescent="0.25">
      <c r="J12" s="3"/>
    </row>
    <row r="13" spans="1:10" x14ac:dyDescent="0.25">
      <c r="J13" s="3"/>
    </row>
    <row r="14" spans="1:10" x14ac:dyDescent="0.25">
      <c r="J14" s="3"/>
    </row>
    <row r="15" spans="1:10" x14ac:dyDescent="0.25">
      <c r="J15" s="3"/>
    </row>
    <row r="16" spans="1:10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rcelas"/>
  <dimension ref="A1:AD36"/>
  <sheetViews>
    <sheetView topLeftCell="D1" zoomScaleNormal="100" workbookViewId="0">
      <selection activeCell="H6" sqref="H6"/>
    </sheetView>
  </sheetViews>
  <sheetFormatPr defaultColWidth="0" defaultRowHeight="15" x14ac:dyDescent="0.25"/>
  <cols>
    <col min="1" max="1" width="29.42578125" style="2" customWidth="1"/>
    <col min="2" max="2" width="44.85546875" style="38" customWidth="1"/>
    <col min="3" max="3" width="21.85546875" style="38" customWidth="1"/>
    <col min="4" max="4" width="21.85546875" style="41" customWidth="1"/>
    <col min="5" max="5" width="18.28515625" style="41" customWidth="1"/>
    <col min="6" max="6" width="23.7109375" style="38" customWidth="1"/>
    <col min="7" max="8" width="23.85546875" style="37" customWidth="1"/>
    <col min="9" max="9" width="26.28515625" style="2" customWidth="1"/>
    <col min="10" max="10" width="35.42578125" customWidth="1"/>
    <col min="11" max="11" width="19.85546875" style="2" customWidth="1"/>
    <col min="12" max="12" width="41.28515625" style="2" customWidth="1"/>
    <col min="14" max="14" width="30.5703125" style="38" customWidth="1"/>
    <col min="18" max="18" width="18.5703125" customWidth="1"/>
    <col min="19" max="19" width="7.7109375" style="41" customWidth="1"/>
    <col min="20" max="20" width="9.140625" style="2" customWidth="1"/>
    <col min="21" max="30" width="0" hidden="1" customWidth="1"/>
    <col min="31" max="16384" width="9.140625" hidden="1"/>
  </cols>
  <sheetData>
    <row r="1" spans="1:20" s="45" customFormat="1" ht="27" customHeight="1" x14ac:dyDescent="0.25">
      <c r="A1" s="42" t="s">
        <v>60</v>
      </c>
      <c r="B1" s="46" t="s">
        <v>38</v>
      </c>
      <c r="C1" s="43" t="s">
        <v>57</v>
      </c>
      <c r="D1" s="46" t="s">
        <v>61</v>
      </c>
      <c r="E1" s="46" t="s">
        <v>58</v>
      </c>
      <c r="F1" s="43" t="s">
        <v>44</v>
      </c>
      <c r="G1" s="44" t="s">
        <v>45</v>
      </c>
      <c r="H1" s="44" t="s">
        <v>59</v>
      </c>
      <c r="I1" s="42" t="s">
        <v>36</v>
      </c>
      <c r="J1" s="45" t="s">
        <v>0</v>
      </c>
      <c r="K1" s="42" t="s">
        <v>2</v>
      </c>
      <c r="L1" s="45" t="s">
        <v>1</v>
      </c>
      <c r="M1" s="46" t="s">
        <v>39</v>
      </c>
      <c r="O1" s="46"/>
      <c r="P1" s="42"/>
    </row>
    <row r="2" spans="1:20" ht="15.75" x14ac:dyDescent="0.25">
      <c r="A2" s="47">
        <f>ROW(A2:A10002)</f>
        <v>2</v>
      </c>
      <c r="B2" s="55" t="s">
        <v>41</v>
      </c>
      <c r="C2" s="48">
        <v>50</v>
      </c>
      <c r="D2" s="47">
        <v>1</v>
      </c>
      <c r="E2" s="52">
        <v>3</v>
      </c>
      <c r="F2" s="51">
        <v>10</v>
      </c>
      <c r="G2" s="53">
        <v>43276</v>
      </c>
      <c r="H2" s="53">
        <v>43277</v>
      </c>
      <c r="I2" s="49" t="s">
        <v>37</v>
      </c>
      <c r="J2" s="45" t="s">
        <v>12</v>
      </c>
      <c r="K2" s="49" t="s">
        <v>10</v>
      </c>
      <c r="L2" s="50" t="s">
        <v>11</v>
      </c>
      <c r="M2" s="52"/>
      <c r="N2"/>
      <c r="O2" s="41"/>
      <c r="P2" s="2"/>
      <c r="S2"/>
      <c r="T2"/>
    </row>
    <row r="3" spans="1:20" ht="15.75" x14ac:dyDescent="0.25">
      <c r="A3" s="47">
        <f>ROW(A3:A10003)</f>
        <v>3</v>
      </c>
      <c r="B3" s="55" t="s">
        <v>41</v>
      </c>
      <c r="C3" s="48">
        <v>500</v>
      </c>
      <c r="D3" s="47">
        <v>1</v>
      </c>
      <c r="E3" s="52">
        <v>3</v>
      </c>
      <c r="F3" s="51">
        <v>10</v>
      </c>
      <c r="G3" s="53">
        <v>43276</v>
      </c>
      <c r="H3" s="53">
        <v>43277</v>
      </c>
      <c r="I3" s="49" t="s">
        <v>37</v>
      </c>
      <c r="J3" s="45" t="s">
        <v>40</v>
      </c>
      <c r="K3" s="49" t="s">
        <v>15</v>
      </c>
      <c r="L3" s="50" t="s">
        <v>42</v>
      </c>
      <c r="M3" s="52" t="s">
        <v>43</v>
      </c>
      <c r="N3"/>
      <c r="O3" s="41"/>
      <c r="P3" s="2"/>
      <c r="S3"/>
      <c r="T3"/>
    </row>
    <row r="4" spans="1:20" ht="15.75" x14ac:dyDescent="0.25">
      <c r="A4" s="47">
        <f>ROW(A4:A10004)</f>
        <v>4</v>
      </c>
      <c r="B4" s="55" t="s">
        <v>49</v>
      </c>
      <c r="C4" s="48">
        <v>600</v>
      </c>
      <c r="D4" s="47">
        <v>1</v>
      </c>
      <c r="E4" s="56">
        <v>3</v>
      </c>
      <c r="F4" s="57">
        <v>10</v>
      </c>
      <c r="G4" s="53">
        <v>43276</v>
      </c>
      <c r="H4" s="53">
        <v>43277</v>
      </c>
      <c r="I4" s="49" t="s">
        <v>37</v>
      </c>
      <c r="J4" s="45" t="s">
        <v>46</v>
      </c>
      <c r="K4" s="49" t="s">
        <v>47</v>
      </c>
      <c r="L4" s="50" t="s">
        <v>48</v>
      </c>
      <c r="M4" s="56" t="s">
        <v>50</v>
      </c>
      <c r="N4"/>
      <c r="O4" s="41"/>
      <c r="P4" s="2"/>
      <c r="S4"/>
      <c r="T4"/>
    </row>
    <row r="5" spans="1:20" ht="15.75" x14ac:dyDescent="0.25">
      <c r="A5" s="47">
        <f>ROW(A5:A10005)</f>
        <v>5</v>
      </c>
      <c r="B5" s="55" t="s">
        <v>54</v>
      </c>
      <c r="C5" s="48">
        <v>1000</v>
      </c>
      <c r="D5" s="47">
        <v>1</v>
      </c>
      <c r="E5" s="56">
        <v>3</v>
      </c>
      <c r="F5" s="57">
        <v>0</v>
      </c>
      <c r="G5" s="71">
        <v>43276</v>
      </c>
      <c r="H5" s="60">
        <v>43277</v>
      </c>
      <c r="I5" s="49" t="s">
        <v>30</v>
      </c>
      <c r="J5" s="45" t="s">
        <v>51</v>
      </c>
      <c r="K5" s="49" t="s">
        <v>52</v>
      </c>
      <c r="L5" s="50" t="s">
        <v>53</v>
      </c>
      <c r="M5" s="56"/>
      <c r="N5"/>
      <c r="O5" s="41"/>
      <c r="P5" s="2"/>
      <c r="S5"/>
      <c r="T5"/>
    </row>
    <row r="6" spans="1:20" ht="15.75" x14ac:dyDescent="0.25">
      <c r="A6" s="61" t="s">
        <v>63</v>
      </c>
      <c r="B6" s="62" t="s">
        <v>64</v>
      </c>
      <c r="C6" s="63">
        <v>1000</v>
      </c>
      <c r="D6" s="70">
        <v>5</v>
      </c>
      <c r="E6" s="70">
        <v>3</v>
      </c>
      <c r="F6" s="64">
        <v>0</v>
      </c>
      <c r="G6" s="65">
        <v>43276</v>
      </c>
      <c r="H6" s="66">
        <v>43277</v>
      </c>
      <c r="I6" s="67" t="s">
        <v>37</v>
      </c>
      <c r="J6" s="68" t="s">
        <v>65</v>
      </c>
      <c r="K6" s="67" t="s">
        <v>66</v>
      </c>
      <c r="L6" s="69" t="s">
        <v>67</v>
      </c>
      <c r="M6" s="68"/>
    </row>
    <row r="7" spans="1:20" ht="15.75" x14ac:dyDescent="0.25">
      <c r="A7" s="61" t="s">
        <v>68</v>
      </c>
      <c r="B7" s="62" t="s">
        <v>69</v>
      </c>
      <c r="C7" s="63">
        <v>3</v>
      </c>
      <c r="D7" s="70">
        <v>10</v>
      </c>
      <c r="E7" s="70">
        <v>10</v>
      </c>
      <c r="F7" s="64" t="s">
        <v>70</v>
      </c>
      <c r="G7" s="65">
        <v>43276</v>
      </c>
      <c r="H7" s="66">
        <v>43276</v>
      </c>
      <c r="I7" s="67" t="s">
        <v>30</v>
      </c>
      <c r="J7" s="68" t="s">
        <v>71</v>
      </c>
      <c r="K7" s="67" t="s">
        <v>72</v>
      </c>
      <c r="L7" s="69" t="s">
        <v>73</v>
      </c>
      <c r="M7" s="68"/>
    </row>
    <row r="8" spans="1:20" ht="15.75" x14ac:dyDescent="0.25">
      <c r="A8" s="61" t="s">
        <v>74</v>
      </c>
      <c r="B8" s="62" t="s">
        <v>75</v>
      </c>
      <c r="C8" s="63" t="s">
        <v>76</v>
      </c>
      <c r="D8" s="70">
        <v>200</v>
      </c>
      <c r="E8" s="70">
        <v>10</v>
      </c>
      <c r="F8" s="64" t="s">
        <v>77</v>
      </c>
      <c r="G8" s="72">
        <v>43252</v>
      </c>
      <c r="H8" s="73">
        <v>43253</v>
      </c>
      <c r="I8" s="67" t="s">
        <v>78</v>
      </c>
      <c r="J8" s="68" t="s">
        <v>79</v>
      </c>
      <c r="K8" s="67" t="s">
        <v>80</v>
      </c>
      <c r="L8" s="69" t="s">
        <v>81</v>
      </c>
      <c r="M8" s="68"/>
    </row>
    <row r="9" spans="1:20" ht="15.75" x14ac:dyDescent="0.25">
      <c r="A9" s="61" t="s">
        <v>82</v>
      </c>
      <c r="B9" s="62" t="s">
        <v>83</v>
      </c>
      <c r="C9" s="63" t="s">
        <v>84</v>
      </c>
      <c r="D9" s="70">
        <v>67</v>
      </c>
      <c r="E9" s="70">
        <v>5</v>
      </c>
      <c r="F9" s="64" t="s">
        <v>85</v>
      </c>
      <c r="G9" s="72">
        <v>43251</v>
      </c>
      <c r="H9" s="73">
        <v>43252</v>
      </c>
      <c r="I9" s="67" t="s">
        <v>37</v>
      </c>
      <c r="J9" s="68" t="s">
        <v>86</v>
      </c>
      <c r="K9" s="67" t="s">
        <v>87</v>
      </c>
      <c r="L9" s="69" t="s">
        <v>88</v>
      </c>
      <c r="M9" s="68"/>
    </row>
    <row r="10" spans="1:20" ht="15.75" x14ac:dyDescent="0.25">
      <c r="A10" s="61" t="s">
        <v>93</v>
      </c>
      <c r="B10" s="62" t="s">
        <v>94</v>
      </c>
      <c r="C10" s="63" t="s">
        <v>95</v>
      </c>
      <c r="D10" s="70">
        <v>5</v>
      </c>
      <c r="E10" s="70">
        <v>10</v>
      </c>
      <c r="F10" s="64" t="s">
        <v>96</v>
      </c>
      <c r="G10" s="72">
        <v>43279</v>
      </c>
      <c r="H10" s="73">
        <v>43280</v>
      </c>
      <c r="I10" s="67" t="s">
        <v>37</v>
      </c>
      <c r="J10" s="68" t="s">
        <v>97</v>
      </c>
      <c r="K10" s="67" t="s">
        <v>98</v>
      </c>
      <c r="L10" s="69" t="s">
        <v>99</v>
      </c>
      <c r="M10" s="68"/>
    </row>
    <row r="11" spans="1:20" ht="15.75" x14ac:dyDescent="0.25">
      <c r="A11" s="61" t="s">
        <v>100</v>
      </c>
      <c r="B11" s="62" t="s">
        <v>101</v>
      </c>
      <c r="C11" s="63" t="s">
        <v>102</v>
      </c>
      <c r="D11" s="70">
        <v>10</v>
      </c>
      <c r="E11" s="70">
        <v>10</v>
      </c>
      <c r="F11" s="64" t="s">
        <v>103</v>
      </c>
      <c r="G11" s="72">
        <v>43277</v>
      </c>
      <c r="H11" s="73">
        <v>43278</v>
      </c>
      <c r="I11" s="67" t="s">
        <v>78</v>
      </c>
      <c r="J11" s="68" t="s">
        <v>104</v>
      </c>
      <c r="K11" s="67" t="s">
        <v>105</v>
      </c>
      <c r="L11" s="69" t="s">
        <v>106</v>
      </c>
      <c r="M11" s="68"/>
    </row>
    <row r="12" spans="1:20" ht="15.75" x14ac:dyDescent="0.25">
      <c r="A12" s="61" t="s">
        <v>109</v>
      </c>
      <c r="B12" s="62" t="s">
        <v>110</v>
      </c>
      <c r="C12" s="63" t="s">
        <v>111</v>
      </c>
      <c r="D12" s="70">
        <v>8</v>
      </c>
      <c r="E12" s="70">
        <v>10</v>
      </c>
      <c r="F12" s="64" t="s">
        <v>112</v>
      </c>
      <c r="G12" s="72">
        <v>43276</v>
      </c>
      <c r="H12" s="73">
        <v>43277</v>
      </c>
      <c r="I12" s="67" t="s">
        <v>30</v>
      </c>
      <c r="J12" s="68" t="s">
        <v>40</v>
      </c>
      <c r="K12" s="67" t="s">
        <v>15</v>
      </c>
      <c r="L12" s="69" t="s">
        <v>42</v>
      </c>
      <c r="M12" s="68"/>
    </row>
    <row r="36" spans="9:9" x14ac:dyDescent="0.25">
      <c r="I36" s="3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2"/>
  <sheetViews>
    <sheetView workbookViewId="0">
      <selection activeCell="C8" sqref="C8"/>
    </sheetView>
  </sheetViews>
  <sheetFormatPr defaultRowHeight="15" x14ac:dyDescent="0.25"/>
  <cols>
    <col min="1" max="3" width="23.85546875" customWidth="1"/>
  </cols>
  <sheetData>
    <row r="1" spans="1:1" x14ac:dyDescent="0.25">
      <c r="A1" s="1" t="s">
        <v>62</v>
      </c>
    </row>
    <row r="2" spans="1:1" x14ac:dyDescent="0.25">
      <c r="A2" s="54" t="s">
        <v>108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Usuarios</vt:lpstr>
      <vt:lpstr>UltimosAcessos</vt:lpstr>
      <vt:lpstr>Permissoes</vt:lpstr>
      <vt:lpstr>Parcelas</vt:lpstr>
      <vt:lpstr>Comissao</vt:lpstr>
      <vt:lpstr>tbContasReceber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Cristiano</cp:lastModifiedBy>
  <cp:lastPrinted>2018-05-02T17:51:49Z</cp:lastPrinted>
  <dcterms:created xsi:type="dcterms:W3CDTF">2016-07-26T18:48:56Z</dcterms:created>
  <dcterms:modified xsi:type="dcterms:W3CDTF">2018-06-29T19:54:39Z</dcterms:modified>
</cp:coreProperties>
</file>